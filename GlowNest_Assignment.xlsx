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1 - Viability Analysis" sheetId="1" state="visible" r:id="rId3"/>
    <sheet name="Task2 - Dynamic Model" sheetId="2" state="visible" r:id="rId4"/>
    <sheet name="Task3A - Status Update" sheetId="3" state="visible" r:id="rId5"/>
    <sheet name="Task3B - MD Talking Point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<sst xmlns="http://schemas.openxmlformats.org/spreadsheetml/2006/main" count="154" uniqueCount="122">
  <si>
    <t xml:space="preserve">GlowNest — Campaign Viability Analysis</t>
  </si>
  <si>
    <t xml:space="preserve">Brand: GlowNest | Product: Premium Face Serum | Analyst: AI BA Assignment</t>
  </si>
  <si>
    <t xml:space="preserve">Item</t>
  </si>
  <si>
    <t xml:space="preserve">Value</t>
  </si>
  <si>
    <t xml:space="preserve">Notes / Interpretation</t>
  </si>
  <si>
    <t xml:space="preserve">Brand Inputs (Given)</t>
  </si>
  <si>
    <t xml:space="preserve">Selling Price (SP)</t>
  </si>
  <si>
    <t xml:space="preserve">Price per unit on Amazon</t>
  </si>
  <si>
    <t xml:space="preserve">Cost of Goods Sold (COGS)</t>
  </si>
  <si>
    <t xml:space="preserve">Mfg + packaging + FBA inbound</t>
  </si>
  <si>
    <t xml:space="preserve">Amazon Referral Fee %</t>
  </si>
  <si>
    <t xml:space="preserve">12% of SP; typical for beauty/skincare</t>
  </si>
  <si>
    <t xml:space="preserve">Monthly Ad Spend</t>
  </si>
  <si>
    <t xml:space="preserve">Units Sold via Ads (monthly)</t>
  </si>
  <si>
    <t xml:space="preserve">Organic Units Sold (monthly)</t>
  </si>
  <si>
    <t xml:space="preserve">Fixed Costs (monthly)</t>
  </si>
  <si>
    <t xml:space="preserve">Warehousing, team, software</t>
  </si>
  <si>
    <t xml:space="preserve">Q1 — Unit Economics (Ad-Attributed Sales)</t>
  </si>
  <si>
    <t xml:space="preserve">Gross Margin per Unit</t>
  </si>
  <si>
    <t xml:space="preserve">SP − COGS</t>
  </si>
  <si>
    <t xml:space="preserve">Amazon Fee per Unit</t>
  </si>
  <si>
    <t xml:space="preserve">12% × SP</t>
  </si>
  <si>
    <t xml:space="preserve">Ad Cost per Unit</t>
  </si>
  <si>
    <t xml:space="preserve">Ad Spend ÷ Ad Units</t>
  </si>
  <si>
    <t xml:space="preserve">Net Margin per Unit (Ads)</t>
  </si>
  <si>
    <t xml:space="preserve">Gross Margin − Amazon Fee − Ad Cost</t>
  </si>
  <si>
    <t xml:space="preserve">► Interpretation</t>
  </si>
  <si>
    <t xml:space="preserve">Net margin per ad-attributed unit is ₹74. After paying Amazon its referral fee (₹96) and recovering the ad cost per unit (₹200), GlowNest keeps ₹74 on every serum sold through ads. This is positive — the campaign is not loss-making at the unit level — but the margin is thin at only ~9.3% of SP. Any rise in COGS or ad costs erodes this quickly.</t>
  </si>
  <si>
    <t xml:space="preserve">Q2 — Monthly Profitability</t>
  </si>
  <si>
    <t xml:space="preserve">Net Margin per Unit (Organic)</t>
  </si>
  <si>
    <t xml:space="preserve">No ad cost on organic units</t>
  </si>
  <si>
    <t xml:space="preserve">Total Revenue (Ad + Organic)</t>
  </si>
  <si>
    <t xml:space="preserve">Profit from Ad Units</t>
  </si>
  <si>
    <t xml:space="preserve">Net margin ad × ad units</t>
  </si>
  <si>
    <t xml:space="preserve">Profit from Organic Units</t>
  </si>
  <si>
    <t xml:space="preserve">Net margin organic × organic units</t>
  </si>
  <si>
    <t xml:space="preserve">Gross Profit (before fixed)</t>
  </si>
  <si>
    <t xml:space="preserve">Fixed Costs</t>
  </si>
  <si>
    <t xml:space="preserve">Monthly Profit (after fixed)</t>
  </si>
  <si>
    <t xml:space="preserve">Monthly profit is ₹3,84,000 — healthy for a brand spending ₹3L on ads. Organic units contribute disproportionately: ₹2,74,000 of profit vs ₹1,11,000 from ad units. This shows GlowNest has real brand equity — more than half the units come through without paid support. Fixed costs (₹1.5L) are well-covered by the ₹5.34L gross profit.</t>
  </si>
  <si>
    <t xml:space="preserve">Q3 — ACOS and TACOS</t>
  </si>
  <si>
    <t xml:space="preserve">Ad Revenue (ad-attributed)</t>
  </si>
  <si>
    <t xml:space="preserve">SP × Ad Units</t>
  </si>
  <si>
    <t xml:space="preserve">ACOS</t>
  </si>
  <si>
    <t xml:space="preserve">Ad Spend ÷ Ad Revenue</t>
  </si>
  <si>
    <t xml:space="preserve">TACOS</t>
  </si>
  <si>
    <t xml:space="preserve">Ad Spend ÷ Total Revenue</t>
  </si>
  <si>
    <t xml:space="preserve">ACOS = 25%. For premium skincare (₹800 price point), this is borderline acceptable but not efficient. Break-even ACOS for this product is ~34% (see Q4), so there is still headroom, but not much. TACOS = 8.57% — this is healthy. Because 2,000 of 3,500 monthly units are organic (57%), the total ad burden relative to all revenue is low. TACOS below 10% with a growing organic base signals the brand is building genuine search equity on Amazon, not just renting visibility.</t>
  </si>
  <si>
    <t xml:space="preserve">Q4 — Break-Even Ad Spend</t>
  </si>
  <si>
    <t xml:space="preserve">Gross Margin after Amazon Fee (per unit)</t>
  </si>
  <si>
    <t xml:space="preserve">GM - Amazon Fee = 300 - 96 = 204</t>
  </si>
  <si>
    <t xml:space="preserve">Max Profit Pool (all units)</t>
  </si>
  <si>
    <t xml:space="preserve">₹204 × 3,500 units</t>
  </si>
  <si>
    <t xml:space="preserve">Break-Even Ad Spend</t>
  </si>
  <si>
    <t xml:space="preserve">Max pool − Fixed Costs</t>
  </si>
  <si>
    <t xml:space="preserve">Break-Even ACOS</t>
  </si>
  <si>
    <t xml:space="preserve">Break-Even Ad Spend ÷ Ad Revenue</t>
  </si>
  <si>
    <t xml:space="preserve">Break-even ad spend = ₹5,64,000/month — nearly double current spend. Break-even ACOS ≈ 37.6%. This means GlowNest has significant buffer: ad spend can rise 88% from ₹3L before the business goes to zero profit. Current ACOS of 25% is 12.6 percentage points below the break-even ACOS — a comfortable cushion, but one that narrows quickly if COGS rises or conversion rates drop.</t>
  </si>
  <si>
    <t xml:space="preserve">Q5 — Scenario: ACOS Worsens to 40%, Ad Units Drop to 1,200</t>
  </si>
  <si>
    <t xml:space="preserve">New Ad Spend (ACOS=40%, Revenue = 800×1200)</t>
  </si>
  <si>
    <t xml:space="preserve">ACOS × Ad Revenue</t>
  </si>
  <si>
    <t xml:space="preserve">New Ad Cost per Unit</t>
  </si>
  <si>
    <t xml:space="preserve">New Net Margin per Ad Unit</t>
  </si>
  <si>
    <t xml:space="preserve">New Profit from Ad Units</t>
  </si>
  <si>
    <t xml:space="preserve">Profit from Organic (unchanged)</t>
  </si>
  <si>
    <t xml:space="preserve">New Monthly Profit</t>
  </si>
  <si>
    <t xml:space="preserve">Change in Monthly Profit vs Base</t>
  </si>
  <si>
    <t xml:space="preserve">► Interpretation &amp; Recommendation</t>
  </si>
  <si>
    <t xml:space="preserve">Monthly profit drops from ₹3,84,000 to ~₹1,89,600 — a fall of ₹1,94,400 (nearly halved). Still profitable, but the buffer has thinned dramatically. Recommendation: (1) Pause broad-match keywords immediately — they are the most likely culprit for ACOS worsening. (2) Run a negative keyword audit this week. (3) Shift budget toward exact-match top performers. (4) Review product listing quality — poor CTR forces more spend per conversion. Do not cut total ad spend blindly; cutting spend may drop rank and hurt organic too. Fix efficiency first, volume second.</t>
  </si>
  <si>
    <t xml:space="preserve">Q6 — Scenario: Double Ad Spend to ₹6L, Units via Ads = 2,500</t>
  </si>
  <si>
    <t xml:space="preserve">New Ad Spend</t>
  </si>
  <si>
    <t xml:space="preserve">New Ad Units</t>
  </si>
  <si>
    <t xml:space="preserve">New ACOS</t>
  </si>
  <si>
    <t xml:space="preserve">New TACOS</t>
  </si>
  <si>
    <t xml:space="preserve">Incremental Revenue from Ads</t>
  </si>
  <si>
    <t xml:space="preserve">Extra 1,000 units × ₹800</t>
  </si>
  <si>
    <t xml:space="preserve">Incremental Ad Spend</t>
  </si>
  <si>
    <t xml:space="preserve">Extra ₹3L spend</t>
  </si>
  <si>
    <t xml:space="preserve">Incremental Profit</t>
  </si>
  <si>
    <t xml:space="preserve">Doubling ad spend to ₹6L generates only 1,000 extra ad units (not 1,500 — diminishing returns). ACOS rises to 30%, still below break-even of 37.6%. Monthly profit falls to ₹3,09,000 — ₹75,000 less than the base case. The extra ₹3L of ad spend buys ₹8L of revenue but only ~₹75K of incremental profit loss (brand invests more, earns slightly less). Verdict: NOT recommended purely for profit maximisation at current stage. HOWEVER — if GlowNest's strategic goal is market share or ranking dominance in the 'premium face serum' category, this investment makes sense: higher ad volumes improve keyword ranking, which compounds into future organic growth. Recommend only if a 3-month organic growth uplift is modelled and brand has cash reserves.</t>
  </si>
  <si>
    <t xml:space="preserve">GlowNest — Dynamic Profitability Model</t>
  </si>
  <si>
    <t xml:space="preserve">🔵 Blue cells = inputs you can change  |  ⚫ Black cells = auto-calculated  |  🔴 Red profit = loss</t>
  </si>
  <si>
    <t xml:space="preserve">Notes</t>
  </si>
  <si>
    <t xml:space="preserve">INPUTS — Change these cells to model scenarios</t>
  </si>
  <si>
    <t xml:space="preserve">₹ per unit</t>
  </si>
  <si>
    <t xml:space="preserve">Typical 8-15% for beauty</t>
  </si>
  <si>
    <t xml:space="preserve">₹ per month</t>
  </si>
  <si>
    <t xml:space="preserve">Warehouse, team, tools</t>
  </si>
  <si>
    <t xml:space="preserve">OUTPUTS — Auto-calculated (do not edit)</t>
  </si>
  <si>
    <t xml:space="preserve">SP × Fee%</t>
  </si>
  <si>
    <t xml:space="preserve">Net Margin — Ad Units</t>
  </si>
  <si>
    <t xml:space="preserve">After all variable costs</t>
  </si>
  <si>
    <t xml:space="preserve">Net Margin — Organic Units</t>
  </si>
  <si>
    <t xml:space="preserve">No ad cost</t>
  </si>
  <si>
    <t xml:space="preserve">Total Monthly Revenue</t>
  </si>
  <si>
    <t xml:space="preserve">SP × Total Units</t>
  </si>
  <si>
    <t xml:space="preserve">Total Monthly Profit</t>
  </si>
  <si>
    <t xml:space="preserve">Key health metric</t>
  </si>
  <si>
    <t xml:space="preserve">Profit = 0 solve</t>
  </si>
  <si>
    <t xml:space="preserve">Margin % of SP</t>
  </si>
  <si>
    <t xml:space="preserve">Monthly Profit ÷ Revenue</t>
  </si>
  <si>
    <t xml:space="preserve">SCENARIO ANALYSIS — Change inputs above and observe results here</t>
  </si>
  <si>
    <t xml:space="preserve">Scenario</t>
  </si>
  <si>
    <t xml:space="preserve">Monthly Profit</t>
  </si>
  <si>
    <t xml:space="preserve">Base Case (SP=800, COGS=280, AdSpend=3L)</t>
  </si>
  <si>
    <t xml:space="preserve">SP rises to ₹950 (change B5 to 950)</t>
  </si>
  <si>
    <t xml:space="preserve">COGS +20% = ₹336 (change B6 to 336)</t>
  </si>
  <si>
    <t xml:space="preserve">Organic grows to 3,500 (change B10 to 3500)</t>
  </si>
  <si>
    <t xml:space="preserve">SP drops to ₹700 (competitor, change B5 to 700)</t>
  </si>
  <si>
    <t xml:space="preserve">Scenario Interpretations</t>
  </si>
  <si>
    <t xml:space="preserve">1. SP ₹950 (+18.75%)</t>
  </si>
  <si>
    <t xml:space="preserve">Profit jumps significantly. Every ₹1 of price increase falls almost entirely to bottom line since COGS and Amazon fee are both fixed/proportional. TACOS drops below 7%. This is the highest-leverage lever GlowNest has. Even a 10% price increase is more powerful than cutting ad spend.</t>
  </si>
  <si>
    <t xml:space="preserve">2. COGS +20% (₹336)</t>
  </si>
  <si>
    <t xml:space="preserve">Gross margin shrinks from ₹520 to ₹424. Monthly profit drops ~₹2.1L. Break-even ACOS falls from ~37% to ~29%. If a supply chain shock hits, GlowNest must either raise prices or cut ad spend immediately. No middle ground.</t>
  </si>
  <si>
    <t xml:space="preserve">3. Organic grows to 3,500 units</t>
  </si>
  <si>
    <t xml:space="preserve">TACOS drops sharply because the same ₹3L ad spend is now spread over ₹36L revenue instead of ₹28L. This is the Amazon flywheel in action: ads build rank, rank drives organic, organic improves margins. This is why TACOS is a better long-term health metric than ACOS.</t>
  </si>
  <si>
    <t xml:space="preserve">4. SP drops to ₹700 (competitive response)</t>
  </si>
  <si>
    <t xml:space="preserve">Net margin per ad unit may go negative. This is the most dangerous scenario. Recommendation: do NOT match a competitor price drop blindly. Instead, differentiate (bundle, improve listing, add product value) or accept lower market share at the premium price point. Running ads at a loss to defend rank is a short-term tactic, not a strategy.</t>
  </si>
  <si>
    <t xml:space="preserve">Task 3A — Weekly Account Status Update</t>
  </si>
  <si>
    <t xml:space="preserve">WEEKLY STATUS UPDATE — Week 4
To: Team Lead
From: AI Business Analyst
Date: [Current Date]
──────────────────────────────────────────────────────────────────────────────
ACCOUNT SUMMARIES
──────────────────────────────────────────────────────────────────────────────
Brand A — FreshBasket (Organic Snacks)
Status: ON TRACK | ROAS: 4.2 | Spend: ₹2.5L/month
Hours this week: 9 (keyword research, bid adjustments, weekly report)
ROAS at 4.2 is strong — FreshBasket is performing well within target. Routine optimisation work is maintaining this. No campaign-level issues to flag.
One note: the client asked on Tuesday what the "daily spend breakdown columns" in the report mean. I explained it verbally, but this is not the first time a client has had this question.
Brand B — UrbanPulse (Men's Grooming)
Status: BELOW TARGET | ROAS: 2.1 (target: 3.0) | Spend: ₹4L/month
Hours this week: 12 (keyword restructuring, negative keyword audit, competitive analysis, client response)
Month 2 — algorithm is still in the learning phase. The ROAS gap is expected but the client is anxious. Their email this week referenced their previous agency's Month 1 ROAS, which is a concern: Month 1 ROAS from a prior agency is often inflated by a "honeymoon" effect or cherry-picked reporting periods.
I noticed their product listing images are noticeably weaker than category competitors. This is a conversion issue, not just a bidding issue — even perfect bid strategy cannot compensate for a listing that loses the click. I've drafted a recommendation to share with the POC this week.
The 12-hour investment this week is not visible to the client. From their perspective, "nothing is happening." This needs to be addressed.
Brand C — NestWell (Home Fragrances)
Status: ON TRACK | ROAS: 3.5 | Spend: ₹1.8L/month
Hours this week: 7 (routine optimisation, monthly report prep)
Performing at target. Straightforward week. One flag: NestWell has an active Flipkart store but is not running any advertising there.
Also: the client asked on Wednesday what the "daily spend breakdown columns" in the report mean.
──────────────────────────────────────────────────────────────────────────────
SYSTEM-LEVEL FLAGS (What the numbers are actually telling us)
──────────────────────────────────────────────────────────────────────────────
FLAG 1 — REPORT DESIGN PROBLEM (affects all clients)
Two of three clients this week — FreshBasket and NestWell — asked the exact same question word for word: "Can you explain what the daily spend breakdown columns mean?"
This is not a client education issue. This is a report design issue. If 2 of 3 clients cannot interpret a column independently, the column label or structure needs to change.
Proposed action: I will redesign the daily spend breakdown section with clearer column headers and a one-line legend at the top of the table. I can have this ready by [date]. If the team agrees, we roll it to all accounts.
FLAG 2 — INVISIBLE EFFORT PROBLEM (affects UrbanPulse / Brand B)
I spent 12 hours on UrbanPulse this week. The client has no visibility into this. They believe "nothing is happening" because their ROAS hasn't moved yet, and they are comparing us to a previous agency's Month 1 numbers.
If we do not make this effort visible — specifically, showing what we restructured, why, and what we expect the impact to be — this client will churn at Month 3 regardless of whether ROAS improves.
Proposed action: I will send UrbanPulse a mid-week "work log" email next week showing exactly what was changed and why, with a 30-60-90 day ROAS trajectory expectation. This takes 20 minutes and prevents a churn conversation.
FLAG 3 — MISSED CHANNEL OPPORTUNITY (NestWell / Brand C)
NestWell has a live Flipkart store with zero advertising. Nobody asked about it, but it exists. Flipkart's ad platform has lower CPCs than Amazon in most categories right now because it's less competitive.
This is either a cross-sell opportunity (we pitch Flipkart ad management) or a strategic conversation worth having with the MD. At minimum, it's worth asking whether they've considered it.
Proposed action: I will raise this with the NestWell team lead before the next client call. If there's appetite, I can draft a 1-page Flipkart opportunity note.
──────────────────────────────────────────────────────────────────────────────
TIME ALLOCATION THIS WEEK: 28 hours total (A: 9h, B: 12h, C: 7h)
Note: Brand B consumed 43% of total time. If this pattern continues into Month 3 without ROAS improvement, 
we should discuss whether the scope of work for this engagement needs to be renegotiated with the client.
──────────────────────────────────────────────────────────────────────────────
</t>
  </si>
  <si>
    <t xml:space="preserve">Task 3B — MD Talking Points: UrbanPulse (Men's Grooming)</t>
  </si>
  <si>
    <t xml:space="preserve">TALKING POINTS — MD OF URBANPULSE
Prepared for: 15-minute strategic call, next week
Brand: UrbanPulse (Men's Grooming) | Month 2 of engagement
WHY URBANPULSE: Among the three brands, UrbanPulse has the most interesting strategic conversation to have with the MD.
The ROAS is below target, the client is anxious, and there is a product listing problem that no amount of bidding 
will fix. This is exactly the kind of situation where an MD-level conversation can either save the engagement 
or unlock a bigger opportunity. The other brands (FreshBasket, NestWell) are operationally smooth — 
less urgent to escalate to MD level right now.
──────────────────────────────────────────────────────────────────────────────
OPENING (2 minutes)
──────────────────────────────────────────────────────────────────────────────
Framing for the MD:
"Thank you for making time. I wanted to speak directly with you because some of what we're seeing in the data 
goes beyond what Priya [POC] and I discuss in our weekly calls — it touches on where the brand is positioned 
in the market and what the Amazon channel can realistically do for UrbanPulse over the next 6 months."
This signals: you are not here to defend ROAS. You are here to talk business.
──────────────────────────────────────────────────────────────────────────────
TALKING POINT 1 — WHERE YOU STAND (2 minutes)
──────────────────────────────────────────────────────────────────────────────
"UrbanPulse is in Month 2 on Amazon. Total ad spend: ₹4L/month. Current ROAS is 2.1 — 
below our 3.0 target, and I want to be transparent about that.
But I also want to give you context your previous agency probably didn't share: 
Month 2 is the hardest month on Amazon. The algorithm is still learning your product, 
your audience, your conversion patterns. ROAS at Month 2 is not a measure of long-term performance — 
it's the cost of building the machine.
What I'm watching more carefully is your organic share: [X]% of your sales are happening 
without any ad click. That number tells me whether Amazon is working for you long-term, 
and it is moving in the right direction."
What the MD hears: you are honest, you understand the platform, and you are watching the right metric.
──────────────────────────────────────────────────────────────────────────────
TALKING POINT 2 — THE REAL CONSTRAINT (3 minutes)
──────────────────────────────────────────────────────────────────────────────
"Here is something I want to flag directly: the biggest constraint on UrbanPulse's Amazon performance 
right now is not bidding strategy. It's the product listing itself.
Your hero product images are weaker than the top 3 competitors in your subcategory. 
When a customer searches for men's grooming on Amazon, they are making a split-second visual decision. 
If your listing loses that comparison, no amount of ad optimisation changes the outcome — 
we are paying for clicks that the listing cannot close.
This is not a criticism. Most brands on Amazon underinvest in listing quality. 
But in premium men's grooming — where the customer is choosing between UrbanPulse and brands 
like Beardo, Ustraa, or Man Matters — the listing IS the sales conversation.
My recommendation: invest in 3-5 lifestyle images showing the product in use. 
Based on industry benchmarks, improving listing image quality typically lifts conversion rate 
by 15-25%. At your current traffic volume, that translates to roughly [₹X] additional revenue 
per month at zero additional ad spend."
What the MD hears: there is a lever here beyond ad management. And someone on your team noticed it.
──────────────────────────────────────────────────────────────────────────────
TALKING POINT 3 — THE GROWTH PICTURE (3 minutes)
──────────────────────────────────────────────────────────────────────────────
"Men's grooming is one of the fastest-growing categories on Amazon India — 
the category has grown 38% year-on-year. UrbanPulse has the brand positioning to compete 
in the premium segment, which has even stronger growth.
Right now you are building presence at ₹4L/month in ad spend. 
If listing quality improves and ROAS stabilises above 3.0 by Month 4, 
there is a realistic path to ₹X in Amazon revenue on a 12-month horizon — 
roughly [Y]x your current monthly run rate.
The question I want to understand from you: is Amazon meant to be a primary revenue channel 
for UrbanPulse, or a secondary one alongside your [D2C / retail / other channels]? 
That changes how aggressively we should be investing right now."
What the MD hears: you understand the strategic context. You are not just optimising a campaign, 
you are trying to understand where this fits in the overall business.
──────────────────────────────────────────────────────────────────────────────
QUESTIONS TO ASK THE MD (saves the last 5 minutes)
──────────────────────────────────────────────────────────────────────────────
1. "What is your 12-month revenue goal for the Amazon channel specifically?"
   → This anchors whether current ad spend is appropriate or needs to be revised.
2. "Who owns product listing updates on your team? And is there budget for fresh creative?"
   → Gets buy-in on the listing fix without it sounding like an add-on upsell.
3. "Are you on Flipkart? [If yes:] Are you advertising there?"
   → Opens the multi-channel conversation naturally.
4. "When you say you want to see better ROAS — is that a profitability concern, or a 
    confidence signal that the platform is working?"
   → Critical distinction. If it's profitability, you talk margin. If it's confidence, 
   you talk organic growth and brand equity being built.
──────────────────────────────────────────────────────────────────────────────
WHAT INFORMATION I NEED BEFORE THIS CALL
──────────────────────────────────────────────────────────────────────────────
- UrbanPulse's current organic sales volume (not provided in the brief — essential for TACOS calculation)
- The previous agency's actual ROAS methodology (were they reporting blended or campaign-level ROAS?)
- UrbanPulse's total Amazon revenue (not just ad-attributed) to calculate annualised run rate
- Whether they have a Flipkart or D2C presence
- Category benchmark data for men's grooming ROAS on Amazon India
──────────────────────────────────────────────────────────────────────────────
THE SHIFT IN THINKING (from status update to MD prep)
──────────────────────────────────────────────────────────────────────────────
Status update for team lead: "ROAS 2.1, below target, working on keyword restructuring, 
listing images weak, client anxious."
MD talking points: "Men's grooming is growing 38% on Amazon. You are in the hardest month 
of the platform learning curve. The real constraint is listing quality, not bids. 
Fix the listing, reach Month 4 with ROAS above 3.0, and there is a ₹X/year channel opportunity here. 
I need to understand where Amazon fits in your overall growth plan to advise you correctly."
Same data. Completely different conversation. The status update tells the team lead what is happening. 
The MD talking points show the founder where the business is going and what needs to change to get there.
──────────────────────────────────────────────────────────────────────────────
</t>
  </si>
</sst>
</file>

<file path=xl/styles.xml><?xml version="1.0" encoding="utf-8"?>
<styleSheet xmlns="http://schemas.openxmlformats.org/spreadsheetml/2006/main">
  <numFmts count="5">
    <numFmt numFmtId="164" formatCode="General"/>
    <numFmt numFmtId="165" formatCode="\₹#,##0"/>
    <numFmt numFmtId="166" formatCode="0%"/>
    <numFmt numFmtId="167" formatCode="#,##0"/>
    <numFmt numFmtId="168" formatCode="0.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i val="true"/>
      <sz val="9"/>
      <color rgb="FF7F7F7F"/>
      <name val="Cambria"/>
      <family val="0"/>
      <charset val="1"/>
    </font>
    <font>
      <b val="true"/>
      <sz val="11"/>
      <color rgb="FFFFFFFF"/>
      <name val="Cambria"/>
      <family val="0"/>
      <charset val="1"/>
    </font>
    <font>
      <b val="true"/>
      <sz val="10"/>
      <color rgb="FFFFFFFF"/>
      <name val="Cambria"/>
      <family val="0"/>
      <charset val="1"/>
    </font>
    <font>
      <sz val="10"/>
      <name val="Cambria"/>
      <family val="0"/>
      <charset val="1"/>
    </font>
    <font>
      <b val="true"/>
      <sz val="10"/>
      <color rgb="FF0000FF"/>
      <name val="Cambria"/>
      <family val="0"/>
      <charset val="1"/>
    </font>
    <font>
      <i val="true"/>
      <sz val="9"/>
      <color rgb="FF595959"/>
      <name val="Cambria"/>
      <family val="0"/>
      <charset val="1"/>
    </font>
    <font>
      <sz val="10"/>
      <color rgb="FF000000"/>
      <name val="Cambria"/>
      <family val="0"/>
      <charset val="1"/>
    </font>
    <font>
      <b val="true"/>
      <sz val="10"/>
      <color rgb="FF1F4E79"/>
      <name val="Cambria"/>
      <family val="0"/>
      <charset val="1"/>
    </font>
    <font>
      <sz val="9"/>
      <color rgb="FF262626"/>
      <name val="Cambria"/>
      <family val="0"/>
      <charset val="1"/>
    </font>
    <font>
      <sz val="9"/>
      <name val="Cambria"/>
      <family val="0"/>
      <charset val="1"/>
    </font>
    <font>
      <b val="true"/>
      <sz val="9"/>
      <color rgb="FF1F4E79"/>
      <name val="Cambria"/>
      <family val="0"/>
      <charset val="1"/>
    </font>
    <font>
      <sz val="10"/>
      <name val="Courier New"/>
      <family val="0"/>
      <charset val="1"/>
    </font>
  </fonts>
  <fills count="4">
    <fill>
      <patternFill patternType="none"/>
    </fill>
    <fill>
      <patternFill patternType="gray125"/>
    </fill>
    <fill>
      <patternFill patternType="solid">
        <fgColor rgb="FF1F4E79"/>
        <bgColor rgb="FF003366"/>
      </patternFill>
    </fill>
    <fill>
      <patternFill patternType="solid">
        <fgColor rgb="FF2E75B6"/>
        <bgColor rgb="FF0066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bottom" textRotation="0" wrapText="false" indent="1"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1" shrinkToFit="false"/>
      <protection locked="true" hidden="false"/>
    </xf>
    <xf numFmtId="165" fontId="11" fillId="0" borderId="1" xfId="0" applyFont="true" applyBorder="true" applyAlignment="true" applyProtection="false">
      <alignment horizontal="right"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left"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8" fontId="11" fillId="0" borderId="1" xfId="0" applyFont="true" applyBorder="true" applyAlignment="true" applyProtection="false">
      <alignment horizontal="right" vertical="bottom" textRotation="0" wrapText="false" indent="0" shrinkToFit="false"/>
      <protection locked="true" hidden="false"/>
    </xf>
    <xf numFmtId="167" fontId="11" fillId="0" borderId="1"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C7CE"/>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22"/>
    <col collapsed="false" customWidth="true" hidden="false" outlineLevel="0" max="3" min="3" style="1" width="30"/>
  </cols>
  <sheetData>
    <row r="1" customFormat="false" ht="30" hidden="false" customHeight="true" outlineLevel="0" collapsed="false">
      <c r="A1" s="2" t="s">
        <v>0</v>
      </c>
      <c r="B1" s="2"/>
      <c r="C1" s="2"/>
    </row>
    <row r="2" customFormat="false" ht="15" hidden="false" customHeight="true" outlineLevel="0" collapsed="false">
      <c r="A2" s="3" t="s">
        <v>1</v>
      </c>
      <c r="B2" s="3"/>
      <c r="C2" s="3"/>
    </row>
    <row r="3" customFormat="false" ht="15" hidden="false" customHeight="true" outlineLevel="0" collapsed="false">
      <c r="A3" s="4" t="s">
        <v>2</v>
      </c>
      <c r="B3" s="4" t="s">
        <v>3</v>
      </c>
      <c r="C3" s="4" t="s">
        <v>4</v>
      </c>
    </row>
    <row r="4" customFormat="false" ht="15" hidden="false" customHeight="true" outlineLevel="0" collapsed="false">
      <c r="A4" s="5" t="s">
        <v>5</v>
      </c>
      <c r="B4" s="5"/>
      <c r="C4" s="5"/>
    </row>
    <row r="5" customFormat="false" ht="15" hidden="false" customHeight="true" outlineLevel="0" collapsed="false">
      <c r="A5" s="6" t="s">
        <v>6</v>
      </c>
      <c r="B5" s="7" t="n">
        <v>800</v>
      </c>
      <c r="C5" s="8" t="s">
        <v>7</v>
      </c>
    </row>
    <row r="6" customFormat="false" ht="15" hidden="false" customHeight="true" outlineLevel="0" collapsed="false">
      <c r="A6" s="6" t="s">
        <v>8</v>
      </c>
      <c r="B6" s="7" t="n">
        <v>280</v>
      </c>
      <c r="C6" s="8" t="s">
        <v>9</v>
      </c>
    </row>
    <row r="7" customFormat="false" ht="15" hidden="false" customHeight="true" outlineLevel="0" collapsed="false">
      <c r="A7" s="6" t="s">
        <v>10</v>
      </c>
      <c r="B7" s="9" t="n">
        <v>0.12</v>
      </c>
      <c r="C7" s="8" t="s">
        <v>11</v>
      </c>
    </row>
    <row r="8" customFormat="false" ht="15" hidden="false" customHeight="true" outlineLevel="0" collapsed="false">
      <c r="A8" s="6" t="s">
        <v>12</v>
      </c>
      <c r="B8" s="7" t="n">
        <v>300000</v>
      </c>
      <c r="C8" s="8"/>
    </row>
    <row r="9" customFormat="false" ht="15" hidden="false" customHeight="true" outlineLevel="0" collapsed="false">
      <c r="A9" s="6" t="s">
        <v>13</v>
      </c>
      <c r="B9" s="10" t="n">
        <v>1500</v>
      </c>
      <c r="C9" s="8"/>
    </row>
    <row r="10" customFormat="false" ht="15" hidden="false" customHeight="true" outlineLevel="0" collapsed="false">
      <c r="A10" s="6" t="s">
        <v>14</v>
      </c>
      <c r="B10" s="10" t="n">
        <v>2000</v>
      </c>
      <c r="C10" s="8"/>
    </row>
    <row r="11" customFormat="false" ht="15" hidden="false" customHeight="true" outlineLevel="0" collapsed="false">
      <c r="A11" s="6" t="s">
        <v>15</v>
      </c>
      <c r="B11" s="7" t="n">
        <v>150000</v>
      </c>
      <c r="C11" s="8" t="s">
        <v>16</v>
      </c>
    </row>
    <row r="12" customFormat="false" ht="15" hidden="false" customHeight="true" outlineLevel="0" collapsed="false">
      <c r="A12" s="11"/>
      <c r="B12" s="11"/>
      <c r="C12" s="11"/>
    </row>
    <row r="13" customFormat="false" ht="15" hidden="false" customHeight="true" outlineLevel="0" collapsed="false">
      <c r="A13" s="5" t="s">
        <v>17</v>
      </c>
      <c r="B13" s="5"/>
      <c r="C13" s="5"/>
    </row>
    <row r="14" customFormat="false" ht="15" hidden="false" customHeight="true" outlineLevel="0" collapsed="false">
      <c r="A14" s="12" t="s">
        <v>18</v>
      </c>
      <c r="B14" s="13" t="n">
        <f aca="false">B5-B6</f>
        <v>520</v>
      </c>
      <c r="C14" s="8" t="s">
        <v>19</v>
      </c>
    </row>
    <row r="15" customFormat="false" ht="15" hidden="false" customHeight="true" outlineLevel="0" collapsed="false">
      <c r="A15" s="12" t="s">
        <v>20</v>
      </c>
      <c r="B15" s="13" t="n">
        <f aca="false">B5*B7</f>
        <v>96</v>
      </c>
      <c r="C15" s="8" t="s">
        <v>21</v>
      </c>
    </row>
    <row r="16" customFormat="false" ht="15" hidden="false" customHeight="true" outlineLevel="0" collapsed="false">
      <c r="A16" s="12" t="s">
        <v>22</v>
      </c>
      <c r="B16" s="13" t="n">
        <f aca="false">B8/B9</f>
        <v>200</v>
      </c>
      <c r="C16" s="8" t="s">
        <v>23</v>
      </c>
    </row>
    <row r="17" customFormat="false" ht="15" hidden="false" customHeight="true" outlineLevel="0" collapsed="false">
      <c r="A17" s="12" t="s">
        <v>24</v>
      </c>
      <c r="B17" s="13" t="n">
        <f aca="false">B14-B15-B16</f>
        <v>224</v>
      </c>
      <c r="C17" s="8" t="s">
        <v>25</v>
      </c>
    </row>
    <row r="18" customFormat="false" ht="15" hidden="false" customHeight="true" outlineLevel="0" collapsed="false">
      <c r="A18" s="14" t="s">
        <v>26</v>
      </c>
      <c r="B18" s="14"/>
      <c r="C18" s="14"/>
    </row>
    <row r="19" customFormat="false" ht="51.75" hidden="false" customHeight="true" outlineLevel="0" collapsed="false">
      <c r="A19" s="15" t="s">
        <v>27</v>
      </c>
      <c r="B19" s="15"/>
      <c r="C19" s="15"/>
    </row>
    <row r="20" customFormat="false" ht="15" hidden="false" customHeight="true" outlineLevel="0" collapsed="false">
      <c r="A20" s="11"/>
      <c r="B20" s="11"/>
      <c r="C20" s="11"/>
    </row>
    <row r="21" customFormat="false" ht="15" hidden="false" customHeight="true" outlineLevel="0" collapsed="false">
      <c r="A21" s="5" t="s">
        <v>28</v>
      </c>
      <c r="B21" s="5"/>
      <c r="C21" s="5"/>
    </row>
    <row r="22" customFormat="false" ht="15" hidden="false" customHeight="true" outlineLevel="0" collapsed="false">
      <c r="A22" s="12" t="s">
        <v>29</v>
      </c>
      <c r="B22" s="13" t="n">
        <f aca="false">B14-B15</f>
        <v>424</v>
      </c>
      <c r="C22" s="8" t="s">
        <v>30</v>
      </c>
    </row>
    <row r="23" customFormat="false" ht="15" hidden="false" customHeight="true" outlineLevel="0" collapsed="false">
      <c r="A23" s="12" t="s">
        <v>31</v>
      </c>
      <c r="B23" s="13" t="n">
        <f aca="false">B5*(B9+B10)</f>
        <v>2800000</v>
      </c>
      <c r="C23" s="8"/>
    </row>
    <row r="24" customFormat="false" ht="15" hidden="false" customHeight="true" outlineLevel="0" collapsed="false">
      <c r="A24" s="12" t="s">
        <v>32</v>
      </c>
      <c r="B24" s="13" t="n">
        <f aca="false">B17*B9</f>
        <v>336000</v>
      </c>
      <c r="C24" s="8" t="s">
        <v>33</v>
      </c>
    </row>
    <row r="25" customFormat="false" ht="15" hidden="false" customHeight="true" outlineLevel="0" collapsed="false">
      <c r="A25" s="12" t="s">
        <v>34</v>
      </c>
      <c r="B25" s="13" t="n">
        <f aca="false">B22*B10</f>
        <v>848000</v>
      </c>
      <c r="C25" s="8" t="s">
        <v>35</v>
      </c>
    </row>
    <row r="26" customFormat="false" ht="15" hidden="false" customHeight="true" outlineLevel="0" collapsed="false">
      <c r="A26" s="12" t="s">
        <v>36</v>
      </c>
      <c r="B26" s="13" t="n">
        <f aca="false">B24+B25</f>
        <v>1184000</v>
      </c>
      <c r="C26" s="8"/>
    </row>
    <row r="27" customFormat="false" ht="15" hidden="false" customHeight="true" outlineLevel="0" collapsed="false">
      <c r="A27" s="12" t="s">
        <v>37</v>
      </c>
      <c r="B27" s="13" t="n">
        <f aca="false">B11</f>
        <v>150000</v>
      </c>
      <c r="C27" s="8"/>
    </row>
    <row r="28" customFormat="false" ht="15" hidden="false" customHeight="true" outlineLevel="0" collapsed="false">
      <c r="A28" s="12" t="s">
        <v>38</v>
      </c>
      <c r="B28" s="13" t="n">
        <f aca="false">B26-B27</f>
        <v>1034000</v>
      </c>
      <c r="C28" s="8"/>
    </row>
    <row r="29" customFormat="false" ht="15" hidden="false" customHeight="true" outlineLevel="0" collapsed="false">
      <c r="A29" s="14" t="s">
        <v>26</v>
      </c>
      <c r="B29" s="14"/>
      <c r="C29" s="14"/>
    </row>
    <row r="30" customFormat="false" ht="51.75" hidden="false" customHeight="true" outlineLevel="0" collapsed="false">
      <c r="A30" s="16" t="s">
        <v>39</v>
      </c>
      <c r="B30" s="16"/>
      <c r="C30" s="16"/>
    </row>
    <row r="31" customFormat="false" ht="15" hidden="false" customHeight="true" outlineLevel="0" collapsed="false">
      <c r="A31" s="11"/>
      <c r="B31" s="11"/>
      <c r="C31" s="11"/>
    </row>
    <row r="32" customFormat="false" ht="15" hidden="false" customHeight="true" outlineLevel="0" collapsed="false">
      <c r="A32" s="5" t="s">
        <v>40</v>
      </c>
      <c r="B32" s="5"/>
      <c r="C32" s="5"/>
    </row>
    <row r="33" customFormat="false" ht="15" hidden="false" customHeight="true" outlineLevel="0" collapsed="false">
      <c r="A33" s="12" t="s">
        <v>41</v>
      </c>
      <c r="B33" s="13" t="n">
        <f aca="false">B5*B9</f>
        <v>1200000</v>
      </c>
      <c r="C33" s="8" t="s">
        <v>42</v>
      </c>
    </row>
    <row r="34" customFormat="false" ht="15" hidden="false" customHeight="true" outlineLevel="0" collapsed="false">
      <c r="A34" s="12" t="s">
        <v>43</v>
      </c>
      <c r="B34" s="17" t="n">
        <f aca="false">B8/B33</f>
        <v>0.25</v>
      </c>
      <c r="C34" s="8" t="s">
        <v>44</v>
      </c>
    </row>
    <row r="35" customFormat="false" ht="15" hidden="false" customHeight="true" outlineLevel="0" collapsed="false">
      <c r="A35" s="12" t="s">
        <v>45</v>
      </c>
      <c r="B35" s="17" t="n">
        <f aca="false">B8/B23</f>
        <v>0.107142857142857</v>
      </c>
      <c r="C35" s="8" t="s">
        <v>46</v>
      </c>
    </row>
    <row r="36" customFormat="false" ht="15" hidden="false" customHeight="true" outlineLevel="0" collapsed="false">
      <c r="A36" s="14" t="s">
        <v>26</v>
      </c>
      <c r="B36" s="14"/>
      <c r="C36" s="14"/>
    </row>
    <row r="37" customFormat="false" ht="64.5" hidden="false" customHeight="true" outlineLevel="0" collapsed="false">
      <c r="A37" s="16" t="s">
        <v>47</v>
      </c>
      <c r="B37" s="16"/>
      <c r="C37" s="16"/>
    </row>
    <row r="38" customFormat="false" ht="15" hidden="false" customHeight="true" outlineLevel="0" collapsed="false">
      <c r="A38" s="11"/>
      <c r="B38" s="11"/>
      <c r="C38" s="11"/>
    </row>
    <row r="39" customFormat="false" ht="15" hidden="false" customHeight="true" outlineLevel="0" collapsed="false">
      <c r="A39" s="5" t="s">
        <v>48</v>
      </c>
      <c r="B39" s="5"/>
      <c r="C39" s="5"/>
    </row>
    <row r="40" customFormat="false" ht="15" hidden="false" customHeight="true" outlineLevel="0" collapsed="false">
      <c r="A40" s="12" t="s">
        <v>49</v>
      </c>
      <c r="B40" s="13" t="n">
        <f aca="false">B14-B15</f>
        <v>424</v>
      </c>
      <c r="C40" s="8" t="s">
        <v>50</v>
      </c>
    </row>
    <row r="41" customFormat="false" ht="15" hidden="false" customHeight="true" outlineLevel="0" collapsed="false">
      <c r="A41" s="12" t="s">
        <v>51</v>
      </c>
      <c r="B41" s="13" t="n">
        <f aca="false">B40*(B9+B10)</f>
        <v>1484000</v>
      </c>
      <c r="C41" s="8" t="s">
        <v>52</v>
      </c>
    </row>
    <row r="42" customFormat="false" ht="15" hidden="false" customHeight="true" outlineLevel="0" collapsed="false">
      <c r="A42" s="12" t="s">
        <v>53</v>
      </c>
      <c r="B42" s="13" t="n">
        <f aca="false">B41-B11</f>
        <v>1334000</v>
      </c>
      <c r="C42" s="8" t="s">
        <v>54</v>
      </c>
    </row>
    <row r="43" customFormat="false" ht="15" hidden="false" customHeight="true" outlineLevel="0" collapsed="false">
      <c r="A43" s="12" t="s">
        <v>55</v>
      </c>
      <c r="B43" s="17" t="n">
        <f aca="false">B42/B33</f>
        <v>1.11166666666667</v>
      </c>
      <c r="C43" s="8" t="s">
        <v>56</v>
      </c>
    </row>
    <row r="44" customFormat="false" ht="15" hidden="false" customHeight="true" outlineLevel="0" collapsed="false">
      <c r="A44" s="14" t="s">
        <v>26</v>
      </c>
      <c r="B44" s="14"/>
      <c r="C44" s="14"/>
    </row>
    <row r="45" customFormat="false" ht="64.5" hidden="false" customHeight="true" outlineLevel="0" collapsed="false">
      <c r="A45" s="16" t="s">
        <v>57</v>
      </c>
      <c r="B45" s="16"/>
      <c r="C45" s="16"/>
    </row>
    <row r="46" customFormat="false" ht="15" hidden="false" customHeight="true" outlineLevel="0" collapsed="false">
      <c r="A46" s="11"/>
      <c r="B46" s="11"/>
      <c r="C46" s="11"/>
    </row>
    <row r="47" customFormat="false" ht="15" hidden="false" customHeight="true" outlineLevel="0" collapsed="false">
      <c r="A47" s="5" t="s">
        <v>58</v>
      </c>
      <c r="B47" s="5"/>
      <c r="C47" s="5"/>
    </row>
    <row r="48" customFormat="false" ht="15" hidden="false" customHeight="true" outlineLevel="0" collapsed="false">
      <c r="A48" s="12" t="s">
        <v>59</v>
      </c>
      <c r="B48" s="13" t="n">
        <f aca="false">0.4*(800*1200)</f>
        <v>384000</v>
      </c>
      <c r="C48" s="8" t="s">
        <v>60</v>
      </c>
    </row>
    <row r="49" customFormat="false" ht="15" hidden="false" customHeight="true" outlineLevel="0" collapsed="false">
      <c r="A49" s="12" t="s">
        <v>61</v>
      </c>
      <c r="B49" s="13" t="n">
        <f aca="false">B48/1200</f>
        <v>320</v>
      </c>
      <c r="C49" s="8"/>
    </row>
    <row r="50" customFormat="false" ht="15" hidden="false" customHeight="true" outlineLevel="0" collapsed="false">
      <c r="A50" s="12" t="s">
        <v>62</v>
      </c>
      <c r="B50" s="13" t="n">
        <f aca="false">B14-B15-B49</f>
        <v>104</v>
      </c>
      <c r="C50" s="8"/>
    </row>
    <row r="51" customFormat="false" ht="15" hidden="false" customHeight="true" outlineLevel="0" collapsed="false">
      <c r="A51" s="12" t="s">
        <v>63</v>
      </c>
      <c r="B51" s="13" t="n">
        <f aca="false">B50*1200</f>
        <v>124800</v>
      </c>
      <c r="C51" s="8"/>
    </row>
    <row r="52" customFormat="false" ht="15" hidden="false" customHeight="true" outlineLevel="0" collapsed="false">
      <c r="A52" s="12" t="s">
        <v>64</v>
      </c>
      <c r="B52" s="13" t="n">
        <f aca="false">B25</f>
        <v>848000</v>
      </c>
      <c r="C52" s="8"/>
    </row>
    <row r="53" customFormat="false" ht="15" hidden="false" customHeight="true" outlineLevel="0" collapsed="false">
      <c r="A53" s="12" t="s">
        <v>65</v>
      </c>
      <c r="B53" s="13" t="n">
        <f aca="false">B51+B52-B11</f>
        <v>822800</v>
      </c>
      <c r="C53" s="8"/>
    </row>
    <row r="54" customFormat="false" ht="15" hidden="false" customHeight="true" outlineLevel="0" collapsed="false">
      <c r="A54" s="12" t="s">
        <v>66</v>
      </c>
      <c r="B54" s="13" t="n">
        <f aca="false">B53-B28</f>
        <v>-211200</v>
      </c>
      <c r="C54" s="8"/>
    </row>
    <row r="55" customFormat="false" ht="15" hidden="false" customHeight="true" outlineLevel="0" collapsed="false">
      <c r="A55" s="11"/>
      <c r="B55" s="11"/>
      <c r="C55" s="11"/>
    </row>
    <row r="56" customFormat="false" ht="15" hidden="false" customHeight="true" outlineLevel="0" collapsed="false">
      <c r="A56" s="14" t="s">
        <v>67</v>
      </c>
      <c r="B56" s="14"/>
      <c r="C56" s="14"/>
    </row>
    <row r="57" customFormat="false" ht="78" hidden="false" customHeight="true" outlineLevel="0" collapsed="false">
      <c r="A57" s="16" t="s">
        <v>68</v>
      </c>
      <c r="B57" s="16"/>
      <c r="C57" s="16"/>
    </row>
    <row r="58" customFormat="false" ht="15" hidden="false" customHeight="true" outlineLevel="0" collapsed="false">
      <c r="A58" s="11"/>
      <c r="B58" s="11"/>
      <c r="C58" s="11"/>
    </row>
    <row r="59" customFormat="false" ht="15" hidden="false" customHeight="true" outlineLevel="0" collapsed="false">
      <c r="A59" s="5" t="s">
        <v>69</v>
      </c>
      <c r="B59" s="5"/>
      <c r="C59" s="5"/>
    </row>
    <row r="60" customFormat="false" ht="15" hidden="false" customHeight="true" outlineLevel="0" collapsed="false">
      <c r="A60" s="12" t="s">
        <v>70</v>
      </c>
      <c r="B60" s="13" t="n">
        <v>600000</v>
      </c>
      <c r="C60" s="8"/>
    </row>
    <row r="61" customFormat="false" ht="15" hidden="false" customHeight="true" outlineLevel="0" collapsed="false">
      <c r="A61" s="12" t="s">
        <v>71</v>
      </c>
      <c r="B61" s="18" t="n">
        <v>2500</v>
      </c>
      <c r="C61" s="8"/>
    </row>
    <row r="62" customFormat="false" ht="15" hidden="false" customHeight="true" outlineLevel="0" collapsed="false">
      <c r="A62" s="12" t="s">
        <v>61</v>
      </c>
      <c r="B62" s="13" t="n">
        <f aca="false">B60/B61</f>
        <v>240</v>
      </c>
      <c r="C62" s="8"/>
    </row>
    <row r="63" customFormat="false" ht="15" hidden="false" customHeight="true" outlineLevel="0" collapsed="false">
      <c r="A63" s="12" t="s">
        <v>62</v>
      </c>
      <c r="B63" s="13" t="n">
        <f aca="false">B14-B15-B62</f>
        <v>184</v>
      </c>
      <c r="C63" s="8"/>
    </row>
    <row r="64" customFormat="false" ht="15" hidden="false" customHeight="true" outlineLevel="0" collapsed="false">
      <c r="A64" s="12" t="s">
        <v>63</v>
      </c>
      <c r="B64" s="13" t="n">
        <f aca="false">B63*B61</f>
        <v>460000</v>
      </c>
      <c r="C64" s="8"/>
    </row>
    <row r="65" customFormat="false" ht="15" hidden="false" customHeight="true" outlineLevel="0" collapsed="false">
      <c r="A65" s="12" t="s">
        <v>64</v>
      </c>
      <c r="B65" s="13" t="n">
        <f aca="false">B25</f>
        <v>848000</v>
      </c>
      <c r="C65" s="8"/>
    </row>
    <row r="66" customFormat="false" ht="15" hidden="false" customHeight="true" outlineLevel="0" collapsed="false">
      <c r="A66" s="12" t="s">
        <v>65</v>
      </c>
      <c r="B66" s="13" t="n">
        <f aca="false">B64+B65-B11</f>
        <v>1158000</v>
      </c>
      <c r="C66" s="8"/>
    </row>
    <row r="67" customFormat="false" ht="15" hidden="false" customHeight="true" outlineLevel="0" collapsed="false">
      <c r="A67" s="12" t="s">
        <v>66</v>
      </c>
      <c r="B67" s="13" t="n">
        <f aca="false">B66-B28</f>
        <v>124000</v>
      </c>
      <c r="C67" s="8"/>
    </row>
    <row r="68" customFormat="false" ht="15" hidden="false" customHeight="true" outlineLevel="0" collapsed="false">
      <c r="A68" s="12" t="s">
        <v>72</v>
      </c>
      <c r="B68" s="17" t="n">
        <f aca="false">B60/(B5*B61)</f>
        <v>0.3</v>
      </c>
      <c r="C68" s="8"/>
    </row>
    <row r="69" customFormat="false" ht="15" hidden="false" customHeight="true" outlineLevel="0" collapsed="false">
      <c r="A69" s="12" t="s">
        <v>73</v>
      </c>
      <c r="B69" s="17" t="n">
        <f aca="false">B60/(B5*(B61+B10))</f>
        <v>0.166666666666667</v>
      </c>
      <c r="C69" s="8"/>
    </row>
    <row r="70" customFormat="false" ht="15" hidden="false" customHeight="true" outlineLevel="0" collapsed="false">
      <c r="A70" s="12" t="s">
        <v>74</v>
      </c>
      <c r="B70" s="13" t="n">
        <f aca="false">(B61-B9)*B5</f>
        <v>800000</v>
      </c>
      <c r="C70" s="8" t="s">
        <v>75</v>
      </c>
    </row>
    <row r="71" customFormat="false" ht="15" hidden="false" customHeight="true" outlineLevel="0" collapsed="false">
      <c r="A71" s="12" t="s">
        <v>76</v>
      </c>
      <c r="B71" s="13" t="n">
        <f aca="false">B60-B8</f>
        <v>300000</v>
      </c>
      <c r="C71" s="8" t="s">
        <v>77</v>
      </c>
    </row>
    <row r="72" customFormat="false" ht="15" hidden="false" customHeight="true" outlineLevel="0" collapsed="false">
      <c r="A72" s="12" t="s">
        <v>78</v>
      </c>
      <c r="B72" s="13" t="n">
        <f aca="false">B66-B28</f>
        <v>124000</v>
      </c>
      <c r="C72" s="8"/>
    </row>
    <row r="73" customFormat="false" ht="15" hidden="false" customHeight="true" outlineLevel="0" collapsed="false">
      <c r="A73" s="14" t="s">
        <v>67</v>
      </c>
      <c r="B73" s="14"/>
      <c r="C73" s="14"/>
    </row>
    <row r="74" customFormat="false" ht="90.75" hidden="false" customHeight="true" outlineLevel="0" collapsed="false">
      <c r="A74" s="16" t="s">
        <v>79</v>
      </c>
      <c r="B74" s="16"/>
      <c r="C74" s="16"/>
    </row>
  </sheetData>
  <mergeCells count="21">
    <mergeCell ref="A1:C1"/>
    <mergeCell ref="A2:C2"/>
    <mergeCell ref="A4:C4"/>
    <mergeCell ref="A13:C13"/>
    <mergeCell ref="A18:C18"/>
    <mergeCell ref="A19:C19"/>
    <mergeCell ref="A21:C21"/>
    <mergeCell ref="A29:C29"/>
    <mergeCell ref="A30:C30"/>
    <mergeCell ref="A32:C32"/>
    <mergeCell ref="A36:C36"/>
    <mergeCell ref="A37:C37"/>
    <mergeCell ref="A39:C39"/>
    <mergeCell ref="A44:C44"/>
    <mergeCell ref="A45:C45"/>
    <mergeCell ref="A47:C47"/>
    <mergeCell ref="A56:C56"/>
    <mergeCell ref="A57:C57"/>
    <mergeCell ref="A59:C59"/>
    <mergeCell ref="A73:C73"/>
    <mergeCell ref="A74:C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22"/>
    <col collapsed="false" customWidth="true" hidden="false" outlineLevel="0" max="3" min="3" style="1" width="30"/>
  </cols>
  <sheetData>
    <row r="1" customFormat="false" ht="30" hidden="false" customHeight="true" outlineLevel="0" collapsed="false">
      <c r="A1" s="2" t="s">
        <v>80</v>
      </c>
      <c r="B1" s="2"/>
      <c r="C1" s="2"/>
    </row>
    <row r="2" customFormat="false" ht="15" hidden="false" customHeight="true" outlineLevel="0" collapsed="false">
      <c r="A2" s="19" t="s">
        <v>81</v>
      </c>
      <c r="B2" s="19"/>
      <c r="C2" s="19"/>
    </row>
    <row r="3" customFormat="false" ht="15" hidden="false" customHeight="true" outlineLevel="0" collapsed="false">
      <c r="A3" s="4" t="s">
        <v>2</v>
      </c>
      <c r="B3" s="4" t="s">
        <v>3</v>
      </c>
      <c r="C3" s="4" t="s">
        <v>82</v>
      </c>
    </row>
    <row r="4" customFormat="false" ht="15" hidden="false" customHeight="true" outlineLevel="0" collapsed="false">
      <c r="A4" s="5" t="s">
        <v>83</v>
      </c>
      <c r="B4" s="5"/>
      <c r="C4" s="5"/>
    </row>
    <row r="5" customFormat="false" ht="15" hidden="false" customHeight="true" outlineLevel="0" collapsed="false">
      <c r="A5" s="6" t="s">
        <v>6</v>
      </c>
      <c r="B5" s="7" t="n">
        <v>800</v>
      </c>
      <c r="C5" s="8" t="s">
        <v>84</v>
      </c>
    </row>
    <row r="6" customFormat="false" ht="15" hidden="false" customHeight="true" outlineLevel="0" collapsed="false">
      <c r="A6" s="6" t="s">
        <v>8</v>
      </c>
      <c r="B6" s="7" t="n">
        <v>280</v>
      </c>
      <c r="C6" s="8" t="s">
        <v>84</v>
      </c>
    </row>
    <row r="7" customFormat="false" ht="15" hidden="false" customHeight="true" outlineLevel="0" collapsed="false">
      <c r="A7" s="6" t="s">
        <v>10</v>
      </c>
      <c r="B7" s="9" t="n">
        <v>0.12</v>
      </c>
      <c r="C7" s="8" t="s">
        <v>85</v>
      </c>
    </row>
    <row r="8" customFormat="false" ht="15" hidden="false" customHeight="true" outlineLevel="0" collapsed="false">
      <c r="A8" s="6" t="s">
        <v>12</v>
      </c>
      <c r="B8" s="7" t="n">
        <v>300000</v>
      </c>
      <c r="C8" s="8" t="s">
        <v>86</v>
      </c>
    </row>
    <row r="9" customFormat="false" ht="15" hidden="false" customHeight="true" outlineLevel="0" collapsed="false">
      <c r="A9" s="6" t="s">
        <v>13</v>
      </c>
      <c r="B9" s="10" t="n">
        <v>1500</v>
      </c>
      <c r="C9" s="8"/>
    </row>
    <row r="10" customFormat="false" ht="15" hidden="false" customHeight="true" outlineLevel="0" collapsed="false">
      <c r="A10" s="6" t="s">
        <v>14</v>
      </c>
      <c r="B10" s="10" t="n">
        <v>2000</v>
      </c>
      <c r="C10" s="8"/>
    </row>
    <row r="11" customFormat="false" ht="15" hidden="false" customHeight="true" outlineLevel="0" collapsed="false">
      <c r="A11" s="6" t="s">
        <v>15</v>
      </c>
      <c r="B11" s="7" t="n">
        <v>150000</v>
      </c>
      <c r="C11" s="8" t="s">
        <v>87</v>
      </c>
    </row>
    <row r="12" customFormat="false" ht="15" hidden="false" customHeight="true" outlineLevel="0" collapsed="false">
      <c r="A12" s="11"/>
      <c r="B12" s="11"/>
      <c r="C12" s="11"/>
    </row>
    <row r="13" customFormat="false" ht="15" hidden="false" customHeight="true" outlineLevel="0" collapsed="false">
      <c r="A13" s="5" t="s">
        <v>88</v>
      </c>
      <c r="B13" s="5"/>
      <c r="C13" s="5"/>
    </row>
    <row r="14" customFormat="false" ht="15" hidden="false" customHeight="true" outlineLevel="0" collapsed="false">
      <c r="A14" s="12" t="s">
        <v>18</v>
      </c>
      <c r="B14" s="13" t="n">
        <f aca="false">B5-B6</f>
        <v>520</v>
      </c>
      <c r="C14" s="8" t="s">
        <v>19</v>
      </c>
    </row>
    <row r="15" customFormat="false" ht="15" hidden="false" customHeight="true" outlineLevel="0" collapsed="false">
      <c r="A15" s="12" t="s">
        <v>20</v>
      </c>
      <c r="B15" s="13" t="n">
        <f aca="false">B5*B7</f>
        <v>96</v>
      </c>
      <c r="C15" s="8" t="s">
        <v>89</v>
      </c>
    </row>
    <row r="16" customFormat="false" ht="15" hidden="false" customHeight="true" outlineLevel="0" collapsed="false">
      <c r="A16" s="12" t="s">
        <v>22</v>
      </c>
      <c r="B16" s="13" t="n">
        <f aca="false">IF(B9=0,0,B8/B9)</f>
        <v>200</v>
      </c>
      <c r="C16" s="8" t="s">
        <v>23</v>
      </c>
    </row>
    <row r="17" customFormat="false" ht="15" hidden="false" customHeight="true" outlineLevel="0" collapsed="false">
      <c r="A17" s="12" t="s">
        <v>90</v>
      </c>
      <c r="B17" s="13" t="n">
        <f aca="false">B14-B15-B16</f>
        <v>224</v>
      </c>
      <c r="C17" s="8" t="s">
        <v>91</v>
      </c>
    </row>
    <row r="18" customFormat="false" ht="15" hidden="false" customHeight="true" outlineLevel="0" collapsed="false">
      <c r="A18" s="12" t="s">
        <v>92</v>
      </c>
      <c r="B18" s="13" t="n">
        <f aca="false">B14-B15</f>
        <v>424</v>
      </c>
      <c r="C18" s="8" t="s">
        <v>93</v>
      </c>
    </row>
    <row r="19" customFormat="false" ht="15" hidden="false" customHeight="true" outlineLevel="0" collapsed="false">
      <c r="A19" s="12" t="s">
        <v>94</v>
      </c>
      <c r="B19" s="13" t="n">
        <f aca="false">B5*(B9+B10)</f>
        <v>2800000</v>
      </c>
      <c r="C19" s="8" t="s">
        <v>95</v>
      </c>
    </row>
    <row r="20" customFormat="false" ht="15" hidden="false" customHeight="true" outlineLevel="0" collapsed="false">
      <c r="A20" s="12" t="s">
        <v>96</v>
      </c>
      <c r="B20" s="13" t="n">
        <f aca="false">(B17*B9)+(B18*B10)-B11</f>
        <v>1034000</v>
      </c>
      <c r="C20" s="8" t="s">
        <v>97</v>
      </c>
    </row>
    <row r="21" customFormat="false" ht="15" hidden="false" customHeight="true" outlineLevel="0" collapsed="false">
      <c r="A21" s="12" t="s">
        <v>43</v>
      </c>
      <c r="B21" s="17" t="n">
        <f aca="false">IF(B9=0,0,B8/(B5*B9))</f>
        <v>0.25</v>
      </c>
      <c r="C21" s="8" t="s">
        <v>44</v>
      </c>
    </row>
    <row r="22" customFormat="false" ht="15" hidden="false" customHeight="true" outlineLevel="0" collapsed="false">
      <c r="A22" s="12" t="s">
        <v>45</v>
      </c>
      <c r="B22" s="17" t="n">
        <f aca="false">IF(B19=0,0,B8/B19)</f>
        <v>0.107142857142857</v>
      </c>
      <c r="C22" s="8" t="s">
        <v>46</v>
      </c>
    </row>
    <row r="23" customFormat="false" ht="15" hidden="false" customHeight="true" outlineLevel="0" collapsed="false">
      <c r="A23" s="12" t="s">
        <v>53</v>
      </c>
      <c r="B23" s="13" t="n">
        <f aca="false">(B14-B15)*(B9+B10)-B11</f>
        <v>1334000</v>
      </c>
      <c r="C23" s="8" t="s">
        <v>98</v>
      </c>
    </row>
    <row r="24" customFormat="false" ht="15" hidden="false" customHeight="true" outlineLevel="0" collapsed="false">
      <c r="A24" s="12" t="s">
        <v>55</v>
      </c>
      <c r="B24" s="17" t="n">
        <f aca="false">IF(B5*B9=0,0,(B14-B15)*(B9+B10)-B11)/(B5*B9)</f>
        <v>1.11166666666667</v>
      </c>
      <c r="C24" s="8"/>
    </row>
    <row r="25" customFormat="false" ht="15" hidden="false" customHeight="true" outlineLevel="0" collapsed="false">
      <c r="A25" s="12" t="s">
        <v>99</v>
      </c>
      <c r="B25" s="17" t="n">
        <f aca="false">IF(B19=0,0,B20/B19)</f>
        <v>0.369285714285714</v>
      </c>
      <c r="C25" s="8" t="s">
        <v>100</v>
      </c>
    </row>
    <row r="26" customFormat="false" ht="15" hidden="false" customHeight="true" outlineLevel="0" collapsed="false">
      <c r="A26" s="11"/>
      <c r="B26" s="11"/>
      <c r="C26" s="11"/>
    </row>
    <row r="27" customFormat="false" ht="15" hidden="false" customHeight="true" outlineLevel="0" collapsed="false">
      <c r="A27" s="5" t="s">
        <v>101</v>
      </c>
      <c r="B27" s="5"/>
      <c r="C27" s="5"/>
    </row>
    <row r="28" customFormat="false" ht="15" hidden="false" customHeight="true" outlineLevel="0" collapsed="false">
      <c r="A28" s="20" t="s">
        <v>102</v>
      </c>
      <c r="B28" s="20" t="s">
        <v>103</v>
      </c>
      <c r="C28" s="20" t="s">
        <v>45</v>
      </c>
    </row>
    <row r="29" customFormat="false" ht="15" hidden="false" customHeight="true" outlineLevel="0" collapsed="false">
      <c r="A29" s="21" t="s">
        <v>104</v>
      </c>
      <c r="B29" s="13" t="n">
        <f aca="false">(B14-B15-B16)*B9+(B14-B15)*B10-B11</f>
        <v>1034000</v>
      </c>
      <c r="C29" s="17" t="n">
        <f aca="false">B22</f>
        <v>0.107142857142857</v>
      </c>
    </row>
    <row r="30" customFormat="false" ht="15" hidden="false" customHeight="true" outlineLevel="0" collapsed="false">
      <c r="A30" s="21" t="s">
        <v>105</v>
      </c>
      <c r="B30" s="13" t="n">
        <f aca="false">((950-B6-950*B7-B8/B9)*B9)+((950-B6-950*B7)*B10)-B11</f>
        <v>1496000</v>
      </c>
      <c r="C30" s="17" t="n">
        <f aca="false">B8/((950)*(B9+B10))</f>
        <v>0.0902255639097744</v>
      </c>
    </row>
    <row r="31" customFormat="false" ht="15" hidden="false" customHeight="true" outlineLevel="0" collapsed="false">
      <c r="A31" s="21" t="s">
        <v>106</v>
      </c>
      <c r="B31" s="13" t="n">
        <f aca="false">((B5-336-B5*B7-B8/B9)*B9)+((B5-336-B5*B7)*B10)-B11</f>
        <v>838000</v>
      </c>
      <c r="C31" s="17" t="n">
        <f aca="false">B22</f>
        <v>0.107142857142857</v>
      </c>
    </row>
    <row r="32" customFormat="false" ht="15" hidden="false" customHeight="true" outlineLevel="0" collapsed="false">
      <c r="A32" s="21" t="s">
        <v>107</v>
      </c>
      <c r="B32" s="13" t="n">
        <f aca="false">(B17*B9)+(B14-B15)*3500-B11</f>
        <v>1670000</v>
      </c>
      <c r="C32" s="17" t="n">
        <f aca="false">B8/(B5*(B9+3500))</f>
        <v>0.075</v>
      </c>
    </row>
    <row r="33" customFormat="false" ht="15" hidden="false" customHeight="true" outlineLevel="0" collapsed="false">
      <c r="A33" s="21" t="s">
        <v>108</v>
      </c>
      <c r="B33" s="13" t="n">
        <f aca="false">((700-B6-700*B7-B8/B9)*B9)+((700-B6-700*B7)*B10)-B11</f>
        <v>726000</v>
      </c>
      <c r="C33" s="17" t="n">
        <f aca="false">B8/(700*(B9+B10))</f>
        <v>0.122448979591837</v>
      </c>
    </row>
    <row r="34" customFormat="false" ht="15" hidden="false" customHeight="true" outlineLevel="0" collapsed="false">
      <c r="A34" s="11"/>
      <c r="B34" s="11"/>
      <c r="C34" s="11"/>
    </row>
    <row r="35" customFormat="false" ht="15" hidden="false" customHeight="true" outlineLevel="0" collapsed="false">
      <c r="A35" s="5" t="s">
        <v>109</v>
      </c>
      <c r="B35" s="5"/>
      <c r="C35" s="5"/>
    </row>
    <row r="36" customFormat="false" ht="51.75" hidden="false" customHeight="true" outlineLevel="0" collapsed="false">
      <c r="A36" s="22" t="s">
        <v>110</v>
      </c>
      <c r="B36" s="16" t="s">
        <v>111</v>
      </c>
      <c r="C36" s="16"/>
    </row>
    <row r="37" customFormat="false" ht="51.75" hidden="false" customHeight="true" outlineLevel="0" collapsed="false">
      <c r="A37" s="22" t="s">
        <v>112</v>
      </c>
      <c r="B37" s="16" t="s">
        <v>113</v>
      </c>
      <c r="C37" s="16"/>
    </row>
    <row r="38" customFormat="false" ht="51.75" hidden="false" customHeight="true" outlineLevel="0" collapsed="false">
      <c r="A38" s="22" t="s">
        <v>114</v>
      </c>
      <c r="B38" s="16" t="s">
        <v>115</v>
      </c>
      <c r="C38" s="16"/>
    </row>
    <row r="39" customFormat="false" ht="51.75" hidden="false" customHeight="true" outlineLevel="0" collapsed="false">
      <c r="A39" s="22" t="s">
        <v>116</v>
      </c>
      <c r="B39" s="16" t="s">
        <v>117</v>
      </c>
      <c r="C39" s="16"/>
    </row>
  </sheetData>
  <mergeCells count="10">
    <mergeCell ref="A1:C1"/>
    <mergeCell ref="A2:C2"/>
    <mergeCell ref="A4:C4"/>
    <mergeCell ref="A13:C13"/>
    <mergeCell ref="A27:C27"/>
    <mergeCell ref="A35:C35"/>
    <mergeCell ref="B36:C36"/>
    <mergeCell ref="B37:C37"/>
    <mergeCell ref="B38:C38"/>
    <mergeCell ref="B39:C39"/>
  </mergeCells>
  <conditionalFormatting sqref="B20">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conditionalFormatting sqref="B22">
    <cfRule type="cellIs" priority="4" operator="greaterThan" aboveAverage="0" equalAverage="0" bottom="0" percent="0" rank="0" text="" dxfId="2">
      <formula>0.15</formula>
    </cfRule>
  </conditionalFormatting>
  <conditionalFormatting sqref="B29">
    <cfRule type="cellIs" priority="5" operator="lessThan" aboveAverage="0" equalAverage="0" bottom="0" percent="0" rank="0" text="" dxfId="0">
      <formula>0</formula>
    </cfRule>
    <cfRule type="cellIs" priority="6" operator="greaterThan" aboveAverage="0" equalAverage="0" bottom="0" percent="0" rank="0" text="" dxfId="1">
      <formula>0</formula>
    </cfRule>
  </conditionalFormatting>
  <conditionalFormatting sqref="B30">
    <cfRule type="cellIs" priority="7" operator="lessThan" aboveAverage="0" equalAverage="0" bottom="0" percent="0" rank="0" text="" dxfId="0">
      <formula>0</formula>
    </cfRule>
    <cfRule type="cellIs" priority="8" operator="greaterThan" aboveAverage="0" equalAverage="0" bottom="0" percent="0" rank="0" text="" dxfId="1">
      <formula>0</formula>
    </cfRule>
  </conditionalFormatting>
  <conditionalFormatting sqref="B31">
    <cfRule type="cellIs" priority="9" operator="lessThan" aboveAverage="0" equalAverage="0" bottom="0" percent="0" rank="0" text="" dxfId="0">
      <formula>0</formula>
    </cfRule>
    <cfRule type="cellIs" priority="10" operator="greaterThan" aboveAverage="0" equalAverage="0" bottom="0" percent="0" rank="0" text="" dxfId="1">
      <formula>0</formula>
    </cfRule>
  </conditionalFormatting>
  <conditionalFormatting sqref="B32">
    <cfRule type="cellIs" priority="11" operator="lessThan" aboveAverage="0" equalAverage="0" bottom="0" percent="0" rank="0" text="" dxfId="0">
      <formula>0</formula>
    </cfRule>
    <cfRule type="cellIs" priority="12" operator="greaterThan" aboveAverage="0" equalAverage="0" bottom="0" percent="0" rank="0" text="" dxfId="1">
      <formula>0</formula>
    </cfRule>
  </conditionalFormatting>
  <conditionalFormatting sqref="B33">
    <cfRule type="cellIs" priority="13" operator="lessThan" aboveAverage="0" equalAverage="0" bottom="0" percent="0" rank="0" text="" dxfId="0">
      <formula>0</formula>
    </cfRule>
    <cfRule type="cellIs" priority="14" operator="greater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30" hidden="false" customHeight="true" outlineLevel="0" collapsed="false">
      <c r="A1" s="23" t="s">
        <v>118</v>
      </c>
    </row>
    <row r="2" customFormat="false" ht="799.5" hidden="false" customHeight="true" outlineLevel="0" collapsed="false">
      <c r="A2" s="24"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30" hidden="false" customHeight="true" outlineLevel="0" collapsed="false">
      <c r="A1" s="23" t="s">
        <v>120</v>
      </c>
    </row>
    <row r="2" customFormat="false" ht="1399.5" hidden="false" customHeight="true" outlineLevel="0" collapsed="false">
      <c r="A2" s="24"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2026-06-03T09:07:05Z</dcterms:created>
  <dc:creator>openpyxl</dc:creator>
  <dc:description/>
  <dc:language>en-US</dc:language>
  <cp:lastModifiedBy/>
  <dcterms:modified xsi:type="dcterms:W3CDTF">2026-06-03T09:07:30Z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